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elton\Documents\Risk &amp; Compliance\Legislacao Aplicavel - Bancos\"/>
    </mc:Choice>
  </mc:AlternateContent>
  <xr:revisionPtr revIDLastSave="0" documentId="13_ncr:1_{9A63FF81-7D30-4EDB-BE51-FEEF688E25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 l="1"/>
  <c r="M3" i="1"/>
  <c r="K3" i="1"/>
  <c r="H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Nelton</author>
  </authors>
  <commentList>
    <comment ref="C3" authorId="0" shapeId="0" xr:uid="{F18B7794-98D5-43FC-AD56-B507DF1242E1}">
      <text>
        <r>
          <rPr>
            <b/>
            <sz val="9"/>
            <color indexed="81"/>
            <rFont val="Tahoma"/>
            <charset val="1"/>
          </rPr>
          <t>Nelton:</t>
        </r>
        <r>
          <rPr>
            <sz val="9"/>
            <color indexed="81"/>
            <rFont val="Tahoma"/>
            <charset val="1"/>
          </rPr>
          <t xml:space="preserve">
Vou precisar que cada cliente tem um codigo para poder ter o historico do mesmo e ver dados da negociacao no ato da concessao de credito</t>
        </r>
      </text>
    </comment>
  </commentList>
</comments>
</file>

<file path=xl/sharedStrings.xml><?xml version="1.0" encoding="utf-8"?>
<sst xmlns="http://schemas.openxmlformats.org/spreadsheetml/2006/main" count="18" uniqueCount="18">
  <si>
    <t>Nr de Operacao</t>
  </si>
  <si>
    <t>Nome do Cliente</t>
  </si>
  <si>
    <t>Tipo de Servico</t>
  </si>
  <si>
    <t>Nelton Massimana</t>
  </si>
  <si>
    <t>Particular</t>
  </si>
  <si>
    <t>Taxa de Juro</t>
  </si>
  <si>
    <t>Capital em Risco</t>
  </si>
  <si>
    <t>Juros</t>
  </si>
  <si>
    <t>Codigo do Cliente</t>
  </si>
  <si>
    <t>1AV2P3</t>
  </si>
  <si>
    <t>Data da Concessao</t>
  </si>
  <si>
    <t>Data de Pagamento</t>
  </si>
  <si>
    <t>Juros de Mora Diarios</t>
  </si>
  <si>
    <t>Saldo a pagar com juros de mora</t>
  </si>
  <si>
    <t>01.10.2025</t>
  </si>
  <si>
    <t>01.11.2025</t>
  </si>
  <si>
    <t>Dias Vencidos</t>
  </si>
  <si>
    <t>Imposto de Selo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</si>
</sst>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9" fontId="0" fillId="0" borderId="0" xfId="0" applyNumberFormat="1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3"/>
  <sheetViews>
    <sheetView tabSelected="1" workbookViewId="0">
      <selection activeCell="J10" sqref="J10"/>
    </sheetView>
  </sheetViews>
  <sheetFormatPr defaultRowHeight="15" x14ac:dyDescent="0.25"/>
  <cols>
    <col min="2" max="2" width="14.85546875" bestFit="1" customWidth="1"/>
    <col min="3" max="3" width="16.85546875" bestFit="1" customWidth="1"/>
    <col min="4" max="4" width="17.7109375" bestFit="1" customWidth="1"/>
    <col min="5" max="5" width="14.5703125" bestFit="1" customWidth="1"/>
    <col min="6" max="6" width="15.5703125" bestFit="1" customWidth="1"/>
    <col min="7" max="7" width="11.85546875" bestFit="1" customWidth="1"/>
    <col min="8" max="8" width="9.5703125" style="4" bestFit="1" customWidth="1"/>
    <col min="9" max="9" width="17.5703125" bestFit="1" customWidth="1"/>
    <col min="10" max="10" width="18.42578125" bestFit="1" customWidth="1"/>
    <col min="11" max="11" width="20.140625" bestFit="1" customWidth="1"/>
    <col min="12" max="13" width="30" bestFit="1" customWidth="1"/>
    <col min="14" max="14" width="22.42578125" bestFit="1" customWidth="1"/>
  </cols>
  <sheetData>
    <row r="2" spans="2:14" x14ac:dyDescent="0.25">
      <c r="B2" s="1" t="s">
        <v>0</v>
      </c>
      <c r="C2" s="1" t="s">
        <v>8</v>
      </c>
      <c r="D2" s="1" t="s">
        <v>1</v>
      </c>
      <c r="E2" s="1" t="s">
        <v>2</v>
      </c>
      <c r="F2" s="1" t="s">
        <v>6</v>
      </c>
      <c r="G2" s="1" t="s">
        <v>5</v>
      </c>
      <c r="H2" s="2" t="s">
        <v>7</v>
      </c>
      <c r="I2" s="1" t="s">
        <v>10</v>
      </c>
      <c r="J2" s="1" t="s">
        <v>11</v>
      </c>
      <c r="K2" s="1" t="s">
        <v>12</v>
      </c>
      <c r="L2" s="1" t="s">
        <v>16</v>
      </c>
      <c r="M2" s="1" t="s">
        <v>13</v>
      </c>
      <c r="N2" s="1" t="s">
        <v>17</v>
      </c>
    </row>
    <row r="3" spans="2:14" x14ac:dyDescent="0.25">
      <c r="B3" s="1">
        <v>1</v>
      </c>
      <c r="C3" s="1" t="s">
        <v>9</v>
      </c>
      <c r="D3" s="1" t="s">
        <v>3</v>
      </c>
      <c r="E3" s="1" t="s">
        <v>4</v>
      </c>
      <c r="F3" s="2">
        <v>20000</v>
      </c>
      <c r="G3" s="3">
        <v>0.25</v>
      </c>
      <c r="H3" s="4">
        <f>+F3*G3</f>
        <v>5000</v>
      </c>
      <c r="I3" s="1" t="s">
        <v>14</v>
      </c>
      <c r="J3" s="1" t="s">
        <v>15</v>
      </c>
      <c r="K3" s="5">
        <f>(F3+H3)*G3/30</f>
        <v>208.33333333333334</v>
      </c>
      <c r="L3">
        <v>10</v>
      </c>
      <c r="M3" s="5">
        <f>F3+H3+K3*L3</f>
        <v>27083.333333333332</v>
      </c>
      <c r="N3" s="5">
        <f>M3*0.04%</f>
        <v>10.833333333333334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Nelton</dc:creator>
  <cp:lastModifiedBy>Nelton Massimana</cp:lastModifiedBy>
  <dcterms:created xsi:type="dcterms:W3CDTF">2015-06-05T18:17:20Z</dcterms:created>
  <dcterms:modified xsi:type="dcterms:W3CDTF">2026-09-23T13:52:25Z</dcterms:modified>
</cp:coreProperties>
</file>